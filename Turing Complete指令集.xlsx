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cs\OneDrive\桌面\"/>
    </mc:Choice>
  </mc:AlternateContent>
  <xr:revisionPtr revIDLastSave="0" documentId="13_ncr:1_{5C3A6D41-311F-428B-BF76-FBE6ED75AE9D}" xr6:coauthVersionLast="47" xr6:coauthVersionMax="47" xr10:uidLastSave="{00000000-0000-0000-0000-000000000000}"/>
  <bookViews>
    <workbookView xWindow="-108" yWindow="-108" windowWidth="23256" windowHeight="12720" xr2:uid="{8F6B484F-77AA-4EEC-BC7A-D4CB05826F46}"/>
  </bookViews>
  <sheets>
    <sheet name="LEG架构指令集" sheetId="1" r:id="rId1"/>
    <sheet name="OVERTURE架构指令集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L11" i="1"/>
  <c r="L4" i="1"/>
  <c r="L5" i="1"/>
  <c r="L6" i="1"/>
  <c r="L7" i="1"/>
  <c r="L8" i="1"/>
  <c r="L9" i="1"/>
  <c r="L10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3" i="1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<sst xmlns="http://schemas.openxmlformats.org/spreadsheetml/2006/main" count="330" uniqueCount="75">
  <si>
    <t>OPCODE</t>
    <phoneticPr fontId="1" type="noConversion"/>
  </si>
  <si>
    <t>PARA1</t>
    <phoneticPr fontId="1" type="noConversion"/>
  </si>
  <si>
    <t>PARA2</t>
    <phoneticPr fontId="1" type="noConversion"/>
  </si>
  <si>
    <t>RES</t>
    <phoneticPr fontId="1" type="noConversion"/>
  </si>
  <si>
    <t>IMM1</t>
    <phoneticPr fontId="1" type="noConversion"/>
  </si>
  <si>
    <t>IMM2</t>
    <phoneticPr fontId="1" type="noConversion"/>
  </si>
  <si>
    <t>IMM12</t>
    <phoneticPr fontId="1" type="noConversion"/>
  </si>
  <si>
    <t>?</t>
    <phoneticPr fontId="1" type="noConversion"/>
  </si>
  <si>
    <t>立即数</t>
    <phoneticPr fontId="1" type="noConversion"/>
  </si>
  <si>
    <t>ADD</t>
    <phoneticPr fontId="1" type="noConversion"/>
  </si>
  <si>
    <t>SUB</t>
    <phoneticPr fontId="1" type="noConversion"/>
  </si>
  <si>
    <t>AND</t>
    <phoneticPr fontId="1" type="noConversion"/>
  </si>
  <si>
    <t>OR</t>
    <phoneticPr fontId="1" type="noConversion"/>
  </si>
  <si>
    <t>NOT</t>
    <phoneticPr fontId="1" type="noConversion"/>
  </si>
  <si>
    <t>XOR</t>
    <phoneticPr fontId="1" type="noConversion"/>
  </si>
  <si>
    <t>IF_EQ</t>
    <phoneticPr fontId="1" type="noConversion"/>
  </si>
  <si>
    <t>IF_N_EQ</t>
    <phoneticPr fontId="1" type="noConversion"/>
  </si>
  <si>
    <t>IF_LE</t>
    <phoneticPr fontId="1" type="noConversion"/>
  </si>
  <si>
    <t>IF_LE_EQ</t>
    <phoneticPr fontId="1" type="noConversion"/>
  </si>
  <si>
    <t>IF_GR</t>
    <phoneticPr fontId="1" type="noConversion"/>
  </si>
  <si>
    <t>IF_GR_EQ</t>
    <phoneticPr fontId="1" type="noConversion"/>
  </si>
  <si>
    <t>AIWAYS</t>
    <phoneticPr fontId="1" type="noConversion"/>
  </si>
  <si>
    <t>data1_addr</t>
    <phoneticPr fontId="1" type="noConversion"/>
  </si>
  <si>
    <t>data2_addr</t>
    <phoneticPr fontId="1" type="noConversion"/>
  </si>
  <si>
    <t>jump_addr</t>
    <phoneticPr fontId="1" type="noConversion"/>
  </si>
  <si>
    <t>pc always jump to jump_addr</t>
    <phoneticPr fontId="1" type="noConversion"/>
  </si>
  <si>
    <t>WRITE</t>
    <phoneticPr fontId="1" type="noConversion"/>
  </si>
  <si>
    <t>READ</t>
    <phoneticPr fontId="1" type="noConversion"/>
  </si>
  <si>
    <t>PUSH</t>
    <phoneticPr fontId="1" type="noConversion"/>
  </si>
  <si>
    <t>POP</t>
    <phoneticPr fontId="1" type="noConversion"/>
  </si>
  <si>
    <t>CALL</t>
    <phoneticPr fontId="1" type="noConversion"/>
  </si>
  <si>
    <t>RET</t>
    <phoneticPr fontId="1" type="noConversion"/>
  </si>
  <si>
    <t>write_data</t>
    <phoneticPr fontId="1" type="noConversion"/>
  </si>
  <si>
    <t>write_addr</t>
    <phoneticPr fontId="1" type="noConversion"/>
  </si>
  <si>
    <t>read_addr</t>
    <phoneticPr fontId="1" type="noConversion"/>
  </si>
  <si>
    <t>pop_to</t>
    <phoneticPr fontId="1" type="noConversion"/>
  </si>
  <si>
    <t>read_to</t>
    <phoneticPr fontId="1" type="noConversion"/>
  </si>
  <si>
    <t>to_addr</t>
    <phoneticPr fontId="1" type="noConversion"/>
  </si>
  <si>
    <t>IMM</t>
    <phoneticPr fontId="1" type="noConversion"/>
  </si>
  <si>
    <t>ALU</t>
    <phoneticPr fontId="1" type="noConversion"/>
  </si>
  <si>
    <t>READ_WRITE</t>
    <phoneticPr fontId="1" type="noConversion"/>
  </si>
  <si>
    <t>COND</t>
    <phoneticPr fontId="1" type="noConversion"/>
  </si>
  <si>
    <t>write "write_data" to RAM "write_addr"</t>
    <phoneticPr fontId="1" type="noConversion"/>
  </si>
  <si>
    <t>read RAM "read_addr" to outside</t>
    <phoneticPr fontId="1" type="noConversion"/>
  </si>
  <si>
    <t>push stack</t>
    <phoneticPr fontId="1" type="noConversion"/>
  </si>
  <si>
    <t>pop stack</t>
    <phoneticPr fontId="1" type="noConversion"/>
  </si>
  <si>
    <t>+</t>
    <phoneticPr fontId="1" type="noConversion"/>
  </si>
  <si>
    <t>-</t>
    <phoneticPr fontId="1" type="noConversion"/>
  </si>
  <si>
    <t>!</t>
    <phoneticPr fontId="1" type="noConversion"/>
  </si>
  <si>
    <t>description</t>
    <phoneticPr fontId="1" type="noConversion"/>
  </si>
  <si>
    <t>call function, push stack</t>
    <phoneticPr fontId="1" type="noConversion"/>
  </si>
  <si>
    <t>return, pop stack + 4</t>
    <phoneticPr fontId="1" type="noConversion"/>
  </si>
  <si>
    <t>if data1≠data2, pc jump to jump_addr</t>
    <phoneticPr fontId="1" type="noConversion"/>
  </si>
  <si>
    <t>if data1＜data2, pc jump to jump_addr</t>
    <phoneticPr fontId="1" type="noConversion"/>
  </si>
  <si>
    <t>if data1≤data2, pc jump to jump_addr</t>
    <phoneticPr fontId="1" type="noConversion"/>
  </si>
  <si>
    <t>if data1＞data2, pc jump to jump_addr</t>
    <phoneticPr fontId="1" type="noConversion"/>
  </si>
  <si>
    <t>if data1≥data2, pc jump to jump_addr</t>
    <phoneticPr fontId="1" type="noConversion"/>
  </si>
  <si>
    <t>if data1＝data2, pc jump to jump_addr</t>
    <phoneticPr fontId="1" type="noConversion"/>
  </si>
  <si>
    <t>&amp;</t>
    <phoneticPr fontId="1" type="noConversion"/>
  </si>
  <si>
    <t>|</t>
    <phoneticPr fontId="1" type="noConversion"/>
  </si>
  <si>
    <t>push_from</t>
    <phoneticPr fontId="1" type="noConversion"/>
  </si>
  <si>
    <t>function label</t>
    <phoneticPr fontId="1" type="noConversion"/>
  </si>
  <si>
    <t>para1作为立即数使用</t>
    <phoneticPr fontId="1" type="noConversion"/>
  </si>
  <si>
    <t>para2作为立即数使用</t>
    <phoneticPr fontId="1" type="noConversion"/>
  </si>
  <si>
    <t>para1和para2均作为立即数使用</t>
    <phoneticPr fontId="1" type="noConversion"/>
  </si>
  <si>
    <t>异或</t>
    <phoneticPr fontId="1" type="noConversion"/>
  </si>
  <si>
    <t>data1</t>
  </si>
  <si>
    <t>data1</t>
    <phoneticPr fontId="1" type="noConversion"/>
  </si>
  <si>
    <t>data2</t>
  </si>
  <si>
    <t>data2</t>
    <phoneticPr fontId="1" type="noConversion"/>
  </si>
  <si>
    <t>Assembly</t>
    <phoneticPr fontId="1" type="noConversion"/>
  </si>
  <si>
    <t>&lt;&lt;左移</t>
    <phoneticPr fontId="1" type="noConversion"/>
  </si>
  <si>
    <t>&gt;&gt;右移</t>
    <phoneticPr fontId="1" type="noConversion"/>
  </si>
  <si>
    <t>SHL</t>
    <phoneticPr fontId="1" type="noConversion"/>
  </si>
  <si>
    <t>SHR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</si>
</sst>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B05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C000"/>
      <name val="等线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hair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hair">
        <color indexed="64"/>
      </right>
      <top style="thin">
        <color auto="1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thin">
        <color auto="1"/>
      </top>
      <bottom style="medium">
        <color indexed="64"/>
      </bottom>
      <diagonal/>
    </border>
    <border>
      <left style="hair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hair">
        <color indexed="64"/>
      </right>
      <top style="thin">
        <color auto="1"/>
      </top>
      <bottom style="medium">
        <color indexed="64"/>
      </bottom>
      <diagonal/>
    </border>
    <border>
      <left/>
      <right style="hair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/>
      <top style="medium">
        <color indexed="64"/>
      </top>
      <bottom style="thin">
        <color auto="1"/>
      </bottom>
      <diagonal/>
    </border>
    <border>
      <left style="hair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15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3" borderId="5" xfId="0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5" borderId="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0" borderId="8" xfId="0" applyBorder="1">
      <alignment vertical="center"/>
    </xf>
    <xf numFmtId="0" fontId="0" fillId="5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0" borderId="0" xfId="0" applyFont="1">
      <alignment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0" borderId="19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16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19" xfId="0" applyBorder="1">
      <alignment vertical="center"/>
    </xf>
    <xf numFmtId="0" fontId="0" fillId="6" borderId="28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0" fillId="5" borderId="42" xfId="0" applyFill="1" applyBorder="1" applyAlignment="1">
      <alignment horizontal="center" vertical="center"/>
    </xf>
    <xf numFmtId="0" fontId="0" fillId="5" borderId="43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5" borderId="48" xfId="0" applyFill="1" applyBorder="1" applyAlignment="1">
      <alignment horizontal="center" vertical="center"/>
    </xf>
    <xf numFmtId="0" fontId="0" fillId="5" borderId="46" xfId="0" applyFill="1" applyBorder="1" applyAlignment="1">
      <alignment horizontal="center" vertical="center"/>
    </xf>
    <xf numFmtId="0" fontId="0" fillId="5" borderId="47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0" fillId="7" borderId="6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0" xfId="0" applyFill="1" applyAlignment="1">
      <alignment vertical="center" wrapText="1"/>
    </xf>
    <xf numFmtId="0" fontId="0" fillId="7" borderId="12" xfId="0" applyFill="1" applyBorder="1">
      <alignment vertical="center"/>
    </xf>
    <xf numFmtId="0" fontId="0" fillId="5" borderId="52" xfId="0" applyFill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0" fontId="0" fillId="3" borderId="50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7" borderId="51" xfId="0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20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0" xfId="0" applyBorder="1">
      <alignment vertical="center"/>
    </xf>
  </cellXfs>
  <cellStyles count="1">
    <cellStyle name="常规" xfId="0" builtinId="0"/>
  </cellStyles>
  <dxfs count="3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E27EB-02D8-4D24-8496-2BB05DCB5B1F}">
  <dimension ref="A1:AN27"/>
  <sheetViews>
    <sheetView tabSelected="1" topLeftCell="A42" workbookViewId="0">
      <selection activeCell="H29" sqref="H29"/>
    </sheetView>
  </sheetViews>
  <sheetFormatPr defaultRowHeight="13.8" x14ac:dyDescent="0.25"/>
  <cols>
    <col min="2" max="2" width="6.33203125" style="21" customWidth="1"/>
    <col min="3" max="3" width="9.5546875" bestFit="1" customWidth="1"/>
    <col min="4" max="11" width="2.77734375" customWidth="1"/>
    <col min="12" max="12" width="4.5546875" bestFit="1" customWidth="1"/>
    <col min="13" max="28" width="2.77734375" customWidth="1"/>
    <col min="29" max="36" width="2.77734375" style="1" customWidth="1"/>
    <col min="37" max="37" width="37" bestFit="1" customWidth="1"/>
  </cols>
  <sheetData>
    <row r="1" spans="1:40" ht="14.4" thickBot="1" x14ac:dyDescent="0.3"/>
    <row r="2" spans="1:40" ht="14.4" thickBot="1" x14ac:dyDescent="0.3">
      <c r="B2" s="106" t="s">
        <v>70</v>
      </c>
      <c r="C2" s="107"/>
      <c r="D2" s="81" t="s">
        <v>0</v>
      </c>
      <c r="E2" s="82"/>
      <c r="F2" s="82"/>
      <c r="G2" s="82"/>
      <c r="H2" s="82"/>
      <c r="I2" s="82"/>
      <c r="J2" s="82"/>
      <c r="K2" s="82"/>
      <c r="L2" s="83"/>
      <c r="M2" s="81" t="s">
        <v>1</v>
      </c>
      <c r="N2" s="82"/>
      <c r="O2" s="82"/>
      <c r="P2" s="82"/>
      <c r="Q2" s="82"/>
      <c r="R2" s="82"/>
      <c r="S2" s="82"/>
      <c r="T2" s="83"/>
      <c r="U2" s="81" t="s">
        <v>2</v>
      </c>
      <c r="V2" s="82"/>
      <c r="W2" s="82"/>
      <c r="X2" s="82"/>
      <c r="Y2" s="82"/>
      <c r="Z2" s="82"/>
      <c r="AA2" s="82"/>
      <c r="AB2" s="83"/>
      <c r="AC2" s="81" t="s">
        <v>3</v>
      </c>
      <c r="AD2" s="108"/>
      <c r="AE2" s="108"/>
      <c r="AF2" s="108"/>
      <c r="AG2" s="108"/>
      <c r="AH2" s="108"/>
      <c r="AI2" s="108"/>
      <c r="AJ2" s="109"/>
      <c r="AK2" s="112" t="s">
        <v>49</v>
      </c>
    </row>
    <row r="3" spans="1:40" x14ac:dyDescent="0.25">
      <c r="A3" s="113"/>
      <c r="B3" s="84" t="s">
        <v>38</v>
      </c>
      <c r="C3" s="4" t="s">
        <v>4</v>
      </c>
      <c r="D3" s="44">
        <v>1</v>
      </c>
      <c r="E3" s="47">
        <v>0</v>
      </c>
      <c r="F3" s="53" t="s">
        <v>7</v>
      </c>
      <c r="G3" s="53" t="s">
        <v>7</v>
      </c>
      <c r="H3" s="53" t="s">
        <v>7</v>
      </c>
      <c r="I3" s="53" t="s">
        <v>7</v>
      </c>
      <c r="J3" s="53" t="s">
        <v>7</v>
      </c>
      <c r="K3" s="15" t="s">
        <v>7</v>
      </c>
      <c r="L3" s="18">
        <f>IF(ISNUMBER(D3),VALUE(D3),0)*128 + IF(ISNUMBER(E3),VALUE(E3),0)*64 + IF(ISNUMBER(F3),VALUE(F3),0)*32 + IF(ISNUMBER(G3),VALUE(G3),0)*16 + IF(ISNUMBER(H3),VALUE(H3),0)*8 + IF(ISNUMBER(I3),VALUE(I3),0)*4 + IF(ISNUMBER(J3),VALUE(J3),0)*2 + IF(ISNUMBER(K3),VALUE(K3),0)*1</f>
        <v>128</v>
      </c>
      <c r="M3" s="76" t="s">
        <v>8</v>
      </c>
      <c r="N3" s="76"/>
      <c r="O3" s="76"/>
      <c r="P3" s="76"/>
      <c r="Q3" s="76"/>
      <c r="R3" s="76"/>
      <c r="S3" s="76"/>
      <c r="T3" s="77"/>
      <c r="U3" s="76" t="s">
        <v>23</v>
      </c>
      <c r="V3" s="76"/>
      <c r="W3" s="76"/>
      <c r="X3" s="76"/>
      <c r="Y3" s="76"/>
      <c r="Z3" s="76"/>
      <c r="AA3" s="76"/>
      <c r="AB3" s="77"/>
      <c r="AC3" s="28" t="s">
        <v>7</v>
      </c>
      <c r="AD3" s="31" t="s">
        <v>7</v>
      </c>
      <c r="AE3" s="31" t="s">
        <v>7</v>
      </c>
      <c r="AF3" s="31" t="s">
        <v>7</v>
      </c>
      <c r="AG3" s="31" t="s">
        <v>7</v>
      </c>
      <c r="AH3" s="31" t="s">
        <v>7</v>
      </c>
      <c r="AI3" s="31" t="s">
        <v>7</v>
      </c>
      <c r="AJ3" s="7" t="s">
        <v>7</v>
      </c>
      <c r="AK3" s="110" t="s">
        <v>62</v>
      </c>
    </row>
    <row r="4" spans="1:40" x14ac:dyDescent="0.25">
      <c r="A4" s="113"/>
      <c r="B4" s="85"/>
      <c r="C4" s="3" t="s">
        <v>5</v>
      </c>
      <c r="D4" s="45">
        <v>0</v>
      </c>
      <c r="E4" s="48">
        <v>1</v>
      </c>
      <c r="F4" s="51" t="s">
        <v>7</v>
      </c>
      <c r="G4" s="51" t="s">
        <v>7</v>
      </c>
      <c r="H4" s="51" t="s">
        <v>7</v>
      </c>
      <c r="I4" s="51" t="s">
        <v>7</v>
      </c>
      <c r="J4" s="51" t="s">
        <v>7</v>
      </c>
      <c r="K4" s="5" t="s">
        <v>7</v>
      </c>
      <c r="L4" s="19">
        <f t="shared" ref="L4:L26" si="0">IF(ISNUMBER(D4),VALUE(D4),0)*128 + IF(ISNUMBER(E4),VALUE(E4),0)*64 + IF(ISNUMBER(F4),VALUE(F4),0)*32 + IF(ISNUMBER(G4),VALUE(G4),0)*16 + IF(ISNUMBER(H4),VALUE(H4),0)*8 + IF(ISNUMBER(I4),VALUE(I4),0)*4 + IF(ISNUMBER(J4),VALUE(J4),0)*2 + IF(ISNUMBER(K4),VALUE(K4),0)*1</f>
        <v>64</v>
      </c>
      <c r="M4" s="97" t="s">
        <v>22</v>
      </c>
      <c r="N4" s="97"/>
      <c r="O4" s="97"/>
      <c r="P4" s="97"/>
      <c r="Q4" s="97"/>
      <c r="R4" s="97"/>
      <c r="S4" s="97"/>
      <c r="T4" s="98"/>
      <c r="U4" s="97" t="s">
        <v>8</v>
      </c>
      <c r="V4" s="97"/>
      <c r="W4" s="97"/>
      <c r="X4" s="97"/>
      <c r="Y4" s="97"/>
      <c r="Z4" s="97"/>
      <c r="AA4" s="97"/>
      <c r="AB4" s="98"/>
      <c r="AC4" s="29" t="s">
        <v>7</v>
      </c>
      <c r="AD4" s="32" t="s">
        <v>7</v>
      </c>
      <c r="AE4" s="32" t="s">
        <v>7</v>
      </c>
      <c r="AF4" s="32" t="s">
        <v>7</v>
      </c>
      <c r="AG4" s="32" t="s">
        <v>7</v>
      </c>
      <c r="AH4" s="32" t="s">
        <v>7</v>
      </c>
      <c r="AI4" s="32" t="s">
        <v>7</v>
      </c>
      <c r="AJ4" s="7" t="s">
        <v>7</v>
      </c>
      <c r="AK4" s="110" t="s">
        <v>63</v>
      </c>
    </row>
    <row r="5" spans="1:40" ht="14.4" thickBot="1" x14ac:dyDescent="0.3">
      <c r="A5" s="113"/>
      <c r="B5" s="86"/>
      <c r="C5" s="11" t="s">
        <v>6</v>
      </c>
      <c r="D5" s="46">
        <v>1</v>
      </c>
      <c r="E5" s="49">
        <v>1</v>
      </c>
      <c r="F5" s="52" t="s">
        <v>7</v>
      </c>
      <c r="G5" s="52" t="s">
        <v>7</v>
      </c>
      <c r="H5" s="52" t="s">
        <v>7</v>
      </c>
      <c r="I5" s="52" t="s">
        <v>7</v>
      </c>
      <c r="J5" s="52" t="s">
        <v>7</v>
      </c>
      <c r="K5" s="12" t="s">
        <v>7</v>
      </c>
      <c r="L5" s="19">
        <f t="shared" si="0"/>
        <v>192</v>
      </c>
      <c r="M5" s="102" t="s">
        <v>8</v>
      </c>
      <c r="N5" s="102"/>
      <c r="O5" s="102"/>
      <c r="P5" s="102"/>
      <c r="Q5" s="102"/>
      <c r="R5" s="102"/>
      <c r="S5" s="102"/>
      <c r="T5" s="103"/>
      <c r="U5" s="102" t="s">
        <v>8</v>
      </c>
      <c r="V5" s="102"/>
      <c r="W5" s="102"/>
      <c r="X5" s="102"/>
      <c r="Y5" s="102"/>
      <c r="Z5" s="102"/>
      <c r="AA5" s="102"/>
      <c r="AB5" s="103"/>
      <c r="AC5" s="30" t="s">
        <v>7</v>
      </c>
      <c r="AD5" s="33" t="s">
        <v>7</v>
      </c>
      <c r="AE5" s="33" t="s">
        <v>7</v>
      </c>
      <c r="AF5" s="33" t="s">
        <v>7</v>
      </c>
      <c r="AG5" s="33" t="s">
        <v>7</v>
      </c>
      <c r="AH5" s="33" t="s">
        <v>7</v>
      </c>
      <c r="AI5" s="33" t="s">
        <v>7</v>
      </c>
      <c r="AJ5" s="7" t="s">
        <v>7</v>
      </c>
      <c r="AK5" s="110" t="s">
        <v>64</v>
      </c>
    </row>
    <row r="6" spans="1:40" x14ac:dyDescent="0.25">
      <c r="A6" s="113"/>
      <c r="B6" s="84" t="s">
        <v>39</v>
      </c>
      <c r="C6" s="61" t="s">
        <v>9</v>
      </c>
      <c r="D6" s="40" t="s">
        <v>7</v>
      </c>
      <c r="E6" s="50" t="s">
        <v>7</v>
      </c>
      <c r="F6" s="54">
        <v>0</v>
      </c>
      <c r="G6" s="50" t="s">
        <v>7</v>
      </c>
      <c r="H6" s="54">
        <v>0</v>
      </c>
      <c r="I6" s="54">
        <v>0</v>
      </c>
      <c r="J6" s="54">
        <v>0</v>
      </c>
      <c r="K6" s="13">
        <v>0</v>
      </c>
      <c r="L6" s="19">
        <f t="shared" si="0"/>
        <v>0</v>
      </c>
      <c r="M6" s="76" t="s">
        <v>67</v>
      </c>
      <c r="N6" s="76"/>
      <c r="O6" s="76"/>
      <c r="P6" s="76"/>
      <c r="Q6" s="76"/>
      <c r="R6" s="76"/>
      <c r="S6" s="76"/>
      <c r="T6" s="77"/>
      <c r="U6" s="76" t="s">
        <v>69</v>
      </c>
      <c r="V6" s="76"/>
      <c r="W6" s="76"/>
      <c r="X6" s="76"/>
      <c r="Y6" s="76"/>
      <c r="Z6" s="76"/>
      <c r="AA6" s="76"/>
      <c r="AB6" s="77"/>
      <c r="AC6" s="99" t="s">
        <v>37</v>
      </c>
      <c r="AD6" s="100"/>
      <c r="AE6" s="100"/>
      <c r="AF6" s="100"/>
      <c r="AG6" s="100"/>
      <c r="AH6" s="100"/>
      <c r="AI6" s="100"/>
      <c r="AJ6" s="101"/>
      <c r="AK6" s="110" t="s">
        <v>46</v>
      </c>
    </row>
    <row r="7" spans="1:40" x14ac:dyDescent="0.25">
      <c r="A7" s="113"/>
      <c r="B7" s="85"/>
      <c r="C7" s="62" t="s">
        <v>10</v>
      </c>
      <c r="D7" s="41" t="s">
        <v>7</v>
      </c>
      <c r="E7" s="51" t="s">
        <v>7</v>
      </c>
      <c r="F7" s="55">
        <v>0</v>
      </c>
      <c r="G7" s="51" t="s">
        <v>7</v>
      </c>
      <c r="H7" s="55">
        <v>0</v>
      </c>
      <c r="I7" s="55">
        <v>0</v>
      </c>
      <c r="J7" s="55">
        <v>0</v>
      </c>
      <c r="K7" s="14">
        <v>1</v>
      </c>
      <c r="L7" s="19">
        <f t="shared" si="0"/>
        <v>1</v>
      </c>
      <c r="M7" s="96" t="s">
        <v>67</v>
      </c>
      <c r="N7" s="97"/>
      <c r="O7" s="97"/>
      <c r="P7" s="97"/>
      <c r="Q7" s="97"/>
      <c r="R7" s="97"/>
      <c r="S7" s="97"/>
      <c r="T7" s="98"/>
      <c r="U7" s="97" t="s">
        <v>69</v>
      </c>
      <c r="V7" s="97"/>
      <c r="W7" s="97"/>
      <c r="X7" s="97"/>
      <c r="Y7" s="97"/>
      <c r="Z7" s="97"/>
      <c r="AA7" s="97"/>
      <c r="AB7" s="98"/>
      <c r="AC7" s="79" t="s">
        <v>37</v>
      </c>
      <c r="AD7" s="79"/>
      <c r="AE7" s="79"/>
      <c r="AF7" s="79"/>
      <c r="AG7" s="79"/>
      <c r="AH7" s="79"/>
      <c r="AI7" s="79"/>
      <c r="AJ7" s="80"/>
      <c r="AK7" s="110" t="s">
        <v>47</v>
      </c>
    </row>
    <row r="8" spans="1:40" x14ac:dyDescent="0.25">
      <c r="A8" s="113"/>
      <c r="B8" s="85"/>
      <c r="C8" s="62" t="s">
        <v>11</v>
      </c>
      <c r="D8" s="41" t="s">
        <v>7</v>
      </c>
      <c r="E8" s="51" t="s">
        <v>7</v>
      </c>
      <c r="F8" s="55">
        <v>0</v>
      </c>
      <c r="G8" s="51" t="s">
        <v>7</v>
      </c>
      <c r="H8" s="55">
        <v>0</v>
      </c>
      <c r="I8" s="55">
        <v>0</v>
      </c>
      <c r="J8" s="48">
        <v>1</v>
      </c>
      <c r="K8" s="2">
        <v>0</v>
      </c>
      <c r="L8" s="19">
        <f t="shared" si="0"/>
        <v>2</v>
      </c>
      <c r="M8" s="76" t="s">
        <v>66</v>
      </c>
      <c r="N8" s="76"/>
      <c r="O8" s="76"/>
      <c r="P8" s="76"/>
      <c r="Q8" s="76"/>
      <c r="R8" s="76"/>
      <c r="S8" s="76"/>
      <c r="T8" s="77"/>
      <c r="U8" s="76" t="s">
        <v>68</v>
      </c>
      <c r="V8" s="76"/>
      <c r="W8" s="76"/>
      <c r="X8" s="76"/>
      <c r="Y8" s="76"/>
      <c r="Z8" s="76"/>
      <c r="AA8" s="76"/>
      <c r="AB8" s="77"/>
      <c r="AC8" s="79" t="s">
        <v>37</v>
      </c>
      <c r="AD8" s="79"/>
      <c r="AE8" s="79"/>
      <c r="AF8" s="79"/>
      <c r="AG8" s="79"/>
      <c r="AH8" s="79"/>
      <c r="AI8" s="79"/>
      <c r="AJ8" s="80"/>
      <c r="AK8" s="110" t="s">
        <v>58</v>
      </c>
    </row>
    <row r="9" spans="1:40" x14ac:dyDescent="0.25">
      <c r="A9" s="113"/>
      <c r="B9" s="85"/>
      <c r="C9" s="62" t="s">
        <v>12</v>
      </c>
      <c r="D9" s="41" t="s">
        <v>7</v>
      </c>
      <c r="E9" s="51" t="s">
        <v>7</v>
      </c>
      <c r="F9" s="55">
        <v>0</v>
      </c>
      <c r="G9" s="51" t="s">
        <v>7</v>
      </c>
      <c r="H9" s="55">
        <v>0</v>
      </c>
      <c r="I9" s="55">
        <v>0</v>
      </c>
      <c r="J9" s="48">
        <v>1</v>
      </c>
      <c r="K9" s="14">
        <v>1</v>
      </c>
      <c r="L9" s="19">
        <f t="shared" si="0"/>
        <v>3</v>
      </c>
      <c r="M9" s="96" t="s">
        <v>66</v>
      </c>
      <c r="N9" s="97"/>
      <c r="O9" s="97"/>
      <c r="P9" s="97"/>
      <c r="Q9" s="97"/>
      <c r="R9" s="97"/>
      <c r="S9" s="97"/>
      <c r="T9" s="98"/>
      <c r="U9" s="97" t="s">
        <v>68</v>
      </c>
      <c r="V9" s="97"/>
      <c r="W9" s="97"/>
      <c r="X9" s="97"/>
      <c r="Y9" s="97"/>
      <c r="Z9" s="97"/>
      <c r="AA9" s="97"/>
      <c r="AB9" s="98"/>
      <c r="AC9" s="79" t="s">
        <v>37</v>
      </c>
      <c r="AD9" s="79"/>
      <c r="AE9" s="79"/>
      <c r="AF9" s="79"/>
      <c r="AG9" s="79"/>
      <c r="AH9" s="79"/>
      <c r="AI9" s="79"/>
      <c r="AJ9" s="80"/>
      <c r="AK9" s="110" t="s">
        <v>59</v>
      </c>
      <c r="AN9" s="114"/>
    </row>
    <row r="10" spans="1:40" x14ac:dyDescent="0.25">
      <c r="A10" s="113"/>
      <c r="B10" s="85"/>
      <c r="C10" s="62" t="s">
        <v>13</v>
      </c>
      <c r="D10" s="41" t="s">
        <v>7</v>
      </c>
      <c r="E10" s="51" t="s">
        <v>7</v>
      </c>
      <c r="F10" s="55">
        <v>0</v>
      </c>
      <c r="G10" s="51" t="s">
        <v>7</v>
      </c>
      <c r="H10" s="55">
        <v>0</v>
      </c>
      <c r="I10" s="48">
        <v>1</v>
      </c>
      <c r="J10" s="55">
        <v>0</v>
      </c>
      <c r="K10" s="2">
        <v>0</v>
      </c>
      <c r="L10" s="19">
        <f t="shared" si="0"/>
        <v>4</v>
      </c>
      <c r="M10" s="76" t="s">
        <v>66</v>
      </c>
      <c r="N10" s="76"/>
      <c r="O10" s="76"/>
      <c r="P10" s="76"/>
      <c r="Q10" s="76"/>
      <c r="R10" s="76"/>
      <c r="S10" s="76"/>
      <c r="T10" s="77"/>
      <c r="U10" s="76" t="s">
        <v>68</v>
      </c>
      <c r="V10" s="76"/>
      <c r="W10" s="76"/>
      <c r="X10" s="76"/>
      <c r="Y10" s="76"/>
      <c r="Z10" s="76"/>
      <c r="AA10" s="76"/>
      <c r="AB10" s="77"/>
      <c r="AC10" s="79" t="s">
        <v>37</v>
      </c>
      <c r="AD10" s="79"/>
      <c r="AE10" s="79"/>
      <c r="AF10" s="79"/>
      <c r="AG10" s="79"/>
      <c r="AH10" s="79"/>
      <c r="AI10" s="79"/>
      <c r="AJ10" s="80"/>
      <c r="AK10" s="110" t="s">
        <v>48</v>
      </c>
      <c r="AL10" s="60"/>
      <c r="AN10" s="114"/>
    </row>
    <row r="11" spans="1:40" x14ac:dyDescent="0.25">
      <c r="A11" s="113"/>
      <c r="B11" s="85"/>
      <c r="C11" s="69" t="s">
        <v>14</v>
      </c>
      <c r="D11" s="41" t="s">
        <v>7</v>
      </c>
      <c r="E11" s="51" t="s">
        <v>7</v>
      </c>
      <c r="F11" s="55">
        <v>0</v>
      </c>
      <c r="G11" s="51" t="s">
        <v>7</v>
      </c>
      <c r="H11" s="55">
        <v>0</v>
      </c>
      <c r="I11" s="48">
        <v>1</v>
      </c>
      <c r="J11" s="55">
        <v>0</v>
      </c>
      <c r="K11" s="14">
        <v>1</v>
      </c>
      <c r="L11" s="19">
        <f t="shared" ref="L11:L12" si="1">IF(ISNUMBER(D11),VALUE(D11),0)*128 + IF(ISNUMBER(E11),VALUE(E11),0)*64 + IF(ISNUMBER(F11),VALUE(F11),0)*32 + IF(ISNUMBER(G11),VALUE(G11),0)*16 + IF(ISNUMBER(H11),VALUE(H11),0)*8 + IF(ISNUMBER(I11),VALUE(I11),0)*4 + IF(ISNUMBER(J11),VALUE(J11),0)*2 + IF(ISNUMBER(K11),VALUE(K11),0)*1</f>
        <v>5</v>
      </c>
      <c r="M11" s="70" t="s">
        <v>66</v>
      </c>
      <c r="N11" s="71"/>
      <c r="O11" s="71"/>
      <c r="P11" s="71"/>
      <c r="Q11" s="71"/>
      <c r="R11" s="71"/>
      <c r="S11" s="71"/>
      <c r="T11" s="72"/>
      <c r="U11" s="71" t="s">
        <v>68</v>
      </c>
      <c r="V11" s="71"/>
      <c r="W11" s="71"/>
      <c r="X11" s="71"/>
      <c r="Y11" s="71"/>
      <c r="Z11" s="71"/>
      <c r="AA11" s="71"/>
      <c r="AB11" s="72"/>
      <c r="AC11" s="73" t="s">
        <v>37</v>
      </c>
      <c r="AD11" s="74"/>
      <c r="AE11" s="74"/>
      <c r="AF11" s="74"/>
      <c r="AG11" s="74"/>
      <c r="AH11" s="74"/>
      <c r="AI11" s="74"/>
      <c r="AJ11" s="75"/>
      <c r="AK11" s="110" t="s">
        <v>65</v>
      </c>
      <c r="AL11" s="60"/>
      <c r="AN11" s="114"/>
    </row>
    <row r="12" spans="1:40" x14ac:dyDescent="0.25">
      <c r="A12" s="113"/>
      <c r="B12" s="85"/>
      <c r="C12" s="69" t="s">
        <v>73</v>
      </c>
      <c r="D12" s="41" t="s">
        <v>7</v>
      </c>
      <c r="E12" s="51" t="s">
        <v>7</v>
      </c>
      <c r="F12" s="55">
        <v>0</v>
      </c>
      <c r="G12" s="51" t="s">
        <v>7</v>
      </c>
      <c r="H12" s="55">
        <v>0</v>
      </c>
      <c r="I12" s="48">
        <v>1</v>
      </c>
      <c r="J12" s="55">
        <v>1</v>
      </c>
      <c r="K12" s="14">
        <v>0</v>
      </c>
      <c r="L12" s="19">
        <f t="shared" si="1"/>
        <v>6</v>
      </c>
      <c r="M12" s="70" t="s">
        <v>66</v>
      </c>
      <c r="N12" s="71"/>
      <c r="O12" s="71"/>
      <c r="P12" s="71"/>
      <c r="Q12" s="71"/>
      <c r="R12" s="71"/>
      <c r="S12" s="71"/>
      <c r="T12" s="72"/>
      <c r="U12" s="71" t="s">
        <v>68</v>
      </c>
      <c r="V12" s="71"/>
      <c r="W12" s="71"/>
      <c r="X12" s="71"/>
      <c r="Y12" s="71"/>
      <c r="Z12" s="71"/>
      <c r="AA12" s="71"/>
      <c r="AB12" s="72"/>
      <c r="AC12" s="73" t="s">
        <v>37</v>
      </c>
      <c r="AD12" s="74"/>
      <c r="AE12" s="74"/>
      <c r="AF12" s="74"/>
      <c r="AG12" s="74"/>
      <c r="AH12" s="74"/>
      <c r="AI12" s="74"/>
      <c r="AJ12" s="75"/>
      <c r="AK12" s="110" t="s">
        <v>71</v>
      </c>
      <c r="AL12" s="60"/>
      <c r="AN12" s="114"/>
    </row>
    <row r="13" spans="1:40" ht="14.4" thickBot="1" x14ac:dyDescent="0.3">
      <c r="A13" s="113"/>
      <c r="B13" s="86"/>
      <c r="C13" s="64" t="s">
        <v>74</v>
      </c>
      <c r="D13" s="65" t="s">
        <v>7</v>
      </c>
      <c r="E13" s="66" t="s">
        <v>7</v>
      </c>
      <c r="F13" s="67">
        <v>0</v>
      </c>
      <c r="G13" s="66" t="s">
        <v>7</v>
      </c>
      <c r="H13" s="67">
        <v>0</v>
      </c>
      <c r="I13" s="59">
        <v>1</v>
      </c>
      <c r="J13" s="67">
        <v>1</v>
      </c>
      <c r="K13" s="68">
        <v>1</v>
      </c>
      <c r="L13" s="19">
        <f t="shared" si="0"/>
        <v>7</v>
      </c>
      <c r="M13" s="70" t="s">
        <v>66</v>
      </c>
      <c r="N13" s="71"/>
      <c r="O13" s="71"/>
      <c r="P13" s="71"/>
      <c r="Q13" s="71"/>
      <c r="R13" s="71"/>
      <c r="S13" s="71"/>
      <c r="T13" s="72"/>
      <c r="U13" s="71" t="s">
        <v>68</v>
      </c>
      <c r="V13" s="71"/>
      <c r="W13" s="71"/>
      <c r="X13" s="71"/>
      <c r="Y13" s="71"/>
      <c r="Z13" s="71"/>
      <c r="AA13" s="71"/>
      <c r="AB13" s="72"/>
      <c r="AC13" s="104" t="s">
        <v>37</v>
      </c>
      <c r="AD13" s="104"/>
      <c r="AE13" s="104"/>
      <c r="AF13" s="104"/>
      <c r="AG13" s="104"/>
      <c r="AH13" s="104"/>
      <c r="AI13" s="104"/>
      <c r="AJ13" s="105"/>
      <c r="AK13" s="110" t="s">
        <v>72</v>
      </c>
    </row>
    <row r="14" spans="1:40" x14ac:dyDescent="0.25">
      <c r="B14" s="87" t="s">
        <v>41</v>
      </c>
      <c r="C14" s="61" t="s">
        <v>15</v>
      </c>
      <c r="D14" s="43" t="s">
        <v>7</v>
      </c>
      <c r="E14" s="50" t="s">
        <v>7</v>
      </c>
      <c r="F14" s="57">
        <v>1</v>
      </c>
      <c r="G14" s="50" t="s">
        <v>7</v>
      </c>
      <c r="H14" s="50" t="s">
        <v>7</v>
      </c>
      <c r="I14" s="54">
        <v>0</v>
      </c>
      <c r="J14" s="54">
        <v>0</v>
      </c>
      <c r="K14" s="13">
        <v>0</v>
      </c>
      <c r="L14" s="19">
        <f t="shared" si="0"/>
        <v>32</v>
      </c>
      <c r="M14" s="95" t="s">
        <v>67</v>
      </c>
      <c r="N14" s="93"/>
      <c r="O14" s="93"/>
      <c r="P14" s="93"/>
      <c r="Q14" s="93"/>
      <c r="R14" s="93"/>
      <c r="S14" s="93"/>
      <c r="T14" s="94"/>
      <c r="U14" s="95" t="s">
        <v>68</v>
      </c>
      <c r="V14" s="93"/>
      <c r="W14" s="93"/>
      <c r="X14" s="93"/>
      <c r="Y14" s="93"/>
      <c r="Z14" s="93"/>
      <c r="AA14" s="93"/>
      <c r="AB14" s="94"/>
      <c r="AC14" s="99" t="s">
        <v>24</v>
      </c>
      <c r="AD14" s="100"/>
      <c r="AE14" s="100"/>
      <c r="AF14" s="100"/>
      <c r="AG14" s="100"/>
      <c r="AH14" s="100"/>
      <c r="AI14" s="100"/>
      <c r="AJ14" s="101"/>
      <c r="AK14" s="110" t="s">
        <v>57</v>
      </c>
    </row>
    <row r="15" spans="1:40" x14ac:dyDescent="0.25">
      <c r="B15" s="88"/>
      <c r="C15" s="62" t="s">
        <v>16</v>
      </c>
      <c r="D15" s="41" t="s">
        <v>7</v>
      </c>
      <c r="E15" s="51" t="s">
        <v>7</v>
      </c>
      <c r="F15" s="48">
        <v>1</v>
      </c>
      <c r="G15" s="51" t="s">
        <v>7</v>
      </c>
      <c r="H15" s="51" t="s">
        <v>7</v>
      </c>
      <c r="I15" s="55">
        <v>0</v>
      </c>
      <c r="J15" s="55">
        <v>0</v>
      </c>
      <c r="K15" s="14">
        <v>1</v>
      </c>
      <c r="L15" s="19">
        <f t="shared" si="0"/>
        <v>33</v>
      </c>
      <c r="M15" s="96" t="s">
        <v>67</v>
      </c>
      <c r="N15" s="97"/>
      <c r="O15" s="97"/>
      <c r="P15" s="97"/>
      <c r="Q15" s="97"/>
      <c r="R15" s="97"/>
      <c r="S15" s="97"/>
      <c r="T15" s="98"/>
      <c r="U15" s="97" t="s">
        <v>68</v>
      </c>
      <c r="V15" s="97"/>
      <c r="W15" s="97"/>
      <c r="X15" s="97"/>
      <c r="Y15" s="97"/>
      <c r="Z15" s="97"/>
      <c r="AA15" s="97"/>
      <c r="AB15" s="98"/>
      <c r="AC15" s="73" t="s">
        <v>24</v>
      </c>
      <c r="AD15" s="74"/>
      <c r="AE15" s="74"/>
      <c r="AF15" s="74"/>
      <c r="AG15" s="74"/>
      <c r="AH15" s="74"/>
      <c r="AI15" s="74"/>
      <c r="AJ15" s="75"/>
      <c r="AK15" s="110" t="s">
        <v>52</v>
      </c>
    </row>
    <row r="16" spans="1:40" x14ac:dyDescent="0.25">
      <c r="B16" s="88"/>
      <c r="C16" s="62" t="s">
        <v>17</v>
      </c>
      <c r="D16" s="41" t="s">
        <v>7</v>
      </c>
      <c r="E16" s="51" t="s">
        <v>7</v>
      </c>
      <c r="F16" s="48">
        <v>1</v>
      </c>
      <c r="G16" s="51" t="s">
        <v>7</v>
      </c>
      <c r="H16" s="51" t="s">
        <v>7</v>
      </c>
      <c r="I16" s="55">
        <v>0</v>
      </c>
      <c r="J16" s="48">
        <v>1</v>
      </c>
      <c r="K16" s="2">
        <v>0</v>
      </c>
      <c r="L16" s="19">
        <f t="shared" si="0"/>
        <v>34</v>
      </c>
      <c r="M16" s="76" t="s">
        <v>66</v>
      </c>
      <c r="N16" s="76"/>
      <c r="O16" s="76"/>
      <c r="P16" s="76"/>
      <c r="Q16" s="76"/>
      <c r="R16" s="76"/>
      <c r="S16" s="76"/>
      <c r="T16" s="77"/>
      <c r="U16" s="76" t="s">
        <v>68</v>
      </c>
      <c r="V16" s="76"/>
      <c r="W16" s="76"/>
      <c r="X16" s="76"/>
      <c r="Y16" s="76"/>
      <c r="Z16" s="76"/>
      <c r="AA16" s="76"/>
      <c r="AB16" s="77"/>
      <c r="AC16" s="73" t="s">
        <v>24</v>
      </c>
      <c r="AD16" s="74"/>
      <c r="AE16" s="74"/>
      <c r="AF16" s="74"/>
      <c r="AG16" s="74"/>
      <c r="AH16" s="74"/>
      <c r="AI16" s="74"/>
      <c r="AJ16" s="75"/>
      <c r="AK16" s="110" t="s">
        <v>53</v>
      </c>
    </row>
    <row r="17" spans="2:37" x14ac:dyDescent="0.25">
      <c r="B17" s="88"/>
      <c r="C17" s="62" t="s">
        <v>18</v>
      </c>
      <c r="D17" s="41" t="s">
        <v>7</v>
      </c>
      <c r="E17" s="51" t="s">
        <v>7</v>
      </c>
      <c r="F17" s="48">
        <v>1</v>
      </c>
      <c r="G17" s="51" t="s">
        <v>7</v>
      </c>
      <c r="H17" s="51" t="s">
        <v>7</v>
      </c>
      <c r="I17" s="55">
        <v>0</v>
      </c>
      <c r="J17" s="48">
        <v>1</v>
      </c>
      <c r="K17" s="14">
        <v>1</v>
      </c>
      <c r="L17" s="19">
        <f t="shared" si="0"/>
        <v>35</v>
      </c>
      <c r="M17" s="76" t="s">
        <v>66</v>
      </c>
      <c r="N17" s="76"/>
      <c r="O17" s="76"/>
      <c r="P17" s="76"/>
      <c r="Q17" s="76"/>
      <c r="R17" s="76"/>
      <c r="S17" s="76"/>
      <c r="T17" s="77"/>
      <c r="U17" s="97" t="s">
        <v>68</v>
      </c>
      <c r="V17" s="97"/>
      <c r="W17" s="97"/>
      <c r="X17" s="97"/>
      <c r="Y17" s="97"/>
      <c r="Z17" s="97"/>
      <c r="AA17" s="97"/>
      <c r="AB17" s="98"/>
      <c r="AC17" s="73" t="s">
        <v>24</v>
      </c>
      <c r="AD17" s="74"/>
      <c r="AE17" s="74"/>
      <c r="AF17" s="74"/>
      <c r="AG17" s="74"/>
      <c r="AH17" s="74"/>
      <c r="AI17" s="74"/>
      <c r="AJ17" s="75"/>
      <c r="AK17" s="110" t="s">
        <v>54</v>
      </c>
    </row>
    <row r="18" spans="2:37" x14ac:dyDescent="0.25">
      <c r="B18" s="88"/>
      <c r="C18" s="62" t="s">
        <v>19</v>
      </c>
      <c r="D18" s="41" t="s">
        <v>7</v>
      </c>
      <c r="E18" s="51" t="s">
        <v>7</v>
      </c>
      <c r="F18" s="48">
        <v>1</v>
      </c>
      <c r="G18" s="51" t="s">
        <v>7</v>
      </c>
      <c r="H18" s="51" t="s">
        <v>7</v>
      </c>
      <c r="I18" s="48">
        <v>1</v>
      </c>
      <c r="J18" s="55">
        <v>0</v>
      </c>
      <c r="K18" s="2">
        <v>0</v>
      </c>
      <c r="L18" s="19">
        <f t="shared" si="0"/>
        <v>36</v>
      </c>
      <c r="M18" s="96" t="s">
        <v>66</v>
      </c>
      <c r="N18" s="97"/>
      <c r="O18" s="97"/>
      <c r="P18" s="97"/>
      <c r="Q18" s="97"/>
      <c r="R18" s="97"/>
      <c r="S18" s="97"/>
      <c r="T18" s="98"/>
      <c r="U18" s="76" t="s">
        <v>68</v>
      </c>
      <c r="V18" s="76"/>
      <c r="W18" s="76"/>
      <c r="X18" s="76"/>
      <c r="Y18" s="76"/>
      <c r="Z18" s="76"/>
      <c r="AA18" s="76"/>
      <c r="AB18" s="77"/>
      <c r="AC18" s="73" t="s">
        <v>24</v>
      </c>
      <c r="AD18" s="74"/>
      <c r="AE18" s="74"/>
      <c r="AF18" s="74"/>
      <c r="AG18" s="74"/>
      <c r="AH18" s="74"/>
      <c r="AI18" s="74"/>
      <c r="AJ18" s="75"/>
      <c r="AK18" s="110" t="s">
        <v>55</v>
      </c>
    </row>
    <row r="19" spans="2:37" x14ac:dyDescent="0.25">
      <c r="B19" s="88"/>
      <c r="C19" s="62" t="s">
        <v>20</v>
      </c>
      <c r="D19" s="41" t="s">
        <v>7</v>
      </c>
      <c r="E19" s="51" t="s">
        <v>7</v>
      </c>
      <c r="F19" s="48">
        <v>1</v>
      </c>
      <c r="G19" s="51" t="s">
        <v>7</v>
      </c>
      <c r="H19" s="51" t="s">
        <v>7</v>
      </c>
      <c r="I19" s="48">
        <v>1</v>
      </c>
      <c r="J19" s="55">
        <v>0</v>
      </c>
      <c r="K19" s="14">
        <v>1</v>
      </c>
      <c r="L19" s="19">
        <f t="shared" si="0"/>
        <v>37</v>
      </c>
      <c r="M19" s="96" t="s">
        <v>67</v>
      </c>
      <c r="N19" s="97"/>
      <c r="O19" s="97"/>
      <c r="P19" s="97"/>
      <c r="Q19" s="97"/>
      <c r="R19" s="97"/>
      <c r="S19" s="97"/>
      <c r="T19" s="98"/>
      <c r="U19" s="97" t="s">
        <v>68</v>
      </c>
      <c r="V19" s="97"/>
      <c r="W19" s="97"/>
      <c r="X19" s="97"/>
      <c r="Y19" s="97"/>
      <c r="Z19" s="97"/>
      <c r="AA19" s="97"/>
      <c r="AB19" s="98"/>
      <c r="AC19" s="73" t="s">
        <v>24</v>
      </c>
      <c r="AD19" s="74"/>
      <c r="AE19" s="74"/>
      <c r="AF19" s="74"/>
      <c r="AG19" s="74"/>
      <c r="AH19" s="74"/>
      <c r="AI19" s="74"/>
      <c r="AJ19" s="75"/>
      <c r="AK19" s="110" t="s">
        <v>56</v>
      </c>
    </row>
    <row r="20" spans="2:37" ht="14.4" thickBot="1" x14ac:dyDescent="0.3">
      <c r="B20" s="89"/>
      <c r="C20" s="11" t="s">
        <v>21</v>
      </c>
      <c r="D20" s="42" t="s">
        <v>7</v>
      </c>
      <c r="E20" s="52" t="s">
        <v>7</v>
      </c>
      <c r="F20" s="49">
        <v>1</v>
      </c>
      <c r="G20" s="52" t="s">
        <v>7</v>
      </c>
      <c r="H20" s="52" t="s">
        <v>7</v>
      </c>
      <c r="I20" s="49">
        <v>1</v>
      </c>
      <c r="J20" s="49">
        <v>1</v>
      </c>
      <c r="K20" s="16">
        <v>0</v>
      </c>
      <c r="L20" s="19">
        <f t="shared" si="0"/>
        <v>38</v>
      </c>
      <c r="M20" s="9" t="s">
        <v>7</v>
      </c>
      <c r="N20" s="33" t="s">
        <v>7</v>
      </c>
      <c r="O20" s="33" t="s">
        <v>7</v>
      </c>
      <c r="P20" s="9" t="s">
        <v>7</v>
      </c>
      <c r="Q20" s="33" t="s">
        <v>7</v>
      </c>
      <c r="R20" s="9" t="s">
        <v>7</v>
      </c>
      <c r="S20" s="33" t="s">
        <v>7</v>
      </c>
      <c r="T20" s="10" t="s">
        <v>7</v>
      </c>
      <c r="U20" s="9" t="s">
        <v>7</v>
      </c>
      <c r="V20" s="34" t="s">
        <v>7</v>
      </c>
      <c r="W20" s="34" t="s">
        <v>7</v>
      </c>
      <c r="X20" s="34" t="s">
        <v>7</v>
      </c>
      <c r="Y20" s="34" t="s">
        <v>7</v>
      </c>
      <c r="Z20" s="33" t="s">
        <v>7</v>
      </c>
      <c r="AA20" s="33" t="s">
        <v>7</v>
      </c>
      <c r="AB20" s="10" t="s">
        <v>7</v>
      </c>
      <c r="AC20" s="90" t="s">
        <v>24</v>
      </c>
      <c r="AD20" s="91"/>
      <c r="AE20" s="91"/>
      <c r="AF20" s="91"/>
      <c r="AG20" s="91"/>
      <c r="AH20" s="91"/>
      <c r="AI20" s="91"/>
      <c r="AJ20" s="92"/>
      <c r="AK20" s="110" t="s">
        <v>25</v>
      </c>
    </row>
    <row r="21" spans="2:37" x14ac:dyDescent="0.25">
      <c r="B21" s="87" t="s">
        <v>40</v>
      </c>
      <c r="C21" s="61" t="s">
        <v>26</v>
      </c>
      <c r="D21" s="43" t="s">
        <v>7</v>
      </c>
      <c r="E21" s="50" t="s">
        <v>7</v>
      </c>
      <c r="F21" s="54">
        <v>0</v>
      </c>
      <c r="G21" s="50" t="s">
        <v>7</v>
      </c>
      <c r="H21" s="58">
        <v>1</v>
      </c>
      <c r="I21" s="54">
        <v>0</v>
      </c>
      <c r="J21" s="54">
        <v>0</v>
      </c>
      <c r="K21" s="13">
        <v>0</v>
      </c>
      <c r="L21" s="19">
        <f t="shared" si="0"/>
        <v>8</v>
      </c>
      <c r="M21" s="93" t="s">
        <v>32</v>
      </c>
      <c r="N21" s="93"/>
      <c r="O21" s="93"/>
      <c r="P21" s="93"/>
      <c r="Q21" s="93"/>
      <c r="R21" s="93"/>
      <c r="S21" s="93"/>
      <c r="T21" s="94"/>
      <c r="U21" s="95" t="s">
        <v>33</v>
      </c>
      <c r="V21" s="93"/>
      <c r="W21" s="93"/>
      <c r="X21" s="93"/>
      <c r="Y21" s="93"/>
      <c r="Z21" s="93"/>
      <c r="AA21" s="93"/>
      <c r="AB21" s="94"/>
      <c r="AC21" s="22" t="s">
        <v>7</v>
      </c>
      <c r="AD21" s="38" t="s">
        <v>7</v>
      </c>
      <c r="AE21" s="38" t="s">
        <v>7</v>
      </c>
      <c r="AF21" s="31" t="s">
        <v>7</v>
      </c>
      <c r="AG21" s="23" t="s">
        <v>7</v>
      </c>
      <c r="AH21" s="38" t="s">
        <v>7</v>
      </c>
      <c r="AI21" s="31" t="s">
        <v>7</v>
      </c>
      <c r="AJ21" s="24" t="s">
        <v>7</v>
      </c>
      <c r="AK21" s="110" t="s">
        <v>42</v>
      </c>
    </row>
    <row r="22" spans="2:37" x14ac:dyDescent="0.25">
      <c r="B22" s="88"/>
      <c r="C22" s="62" t="s">
        <v>27</v>
      </c>
      <c r="D22" s="41" t="s">
        <v>7</v>
      </c>
      <c r="E22" s="51" t="s">
        <v>7</v>
      </c>
      <c r="F22" s="55">
        <v>0</v>
      </c>
      <c r="G22" s="51" t="s">
        <v>7</v>
      </c>
      <c r="H22" s="48">
        <v>1</v>
      </c>
      <c r="I22" s="55">
        <v>0</v>
      </c>
      <c r="J22" s="55">
        <v>0</v>
      </c>
      <c r="K22" s="14">
        <v>1</v>
      </c>
      <c r="L22" s="19">
        <f t="shared" si="0"/>
        <v>9</v>
      </c>
      <c r="M22" s="8" t="s">
        <v>7</v>
      </c>
      <c r="N22" s="32" t="s">
        <v>7</v>
      </c>
      <c r="O22" s="6" t="s">
        <v>7</v>
      </c>
      <c r="P22" s="32" t="s">
        <v>7</v>
      </c>
      <c r="Q22" s="32" t="s">
        <v>7</v>
      </c>
      <c r="R22" s="32" t="s">
        <v>7</v>
      </c>
      <c r="S22" s="32" t="s">
        <v>7</v>
      </c>
      <c r="T22" s="37" t="s">
        <v>7</v>
      </c>
      <c r="U22" s="96" t="s">
        <v>34</v>
      </c>
      <c r="V22" s="97"/>
      <c r="W22" s="97"/>
      <c r="X22" s="97"/>
      <c r="Y22" s="97"/>
      <c r="Z22" s="97"/>
      <c r="AA22" s="97"/>
      <c r="AB22" s="98"/>
      <c r="AC22" s="78" t="s">
        <v>36</v>
      </c>
      <c r="AD22" s="79"/>
      <c r="AE22" s="79"/>
      <c r="AF22" s="79"/>
      <c r="AG22" s="79"/>
      <c r="AH22" s="79"/>
      <c r="AI22" s="79"/>
      <c r="AJ22" s="80"/>
      <c r="AK22" s="110" t="s">
        <v>43</v>
      </c>
    </row>
    <row r="23" spans="2:37" x14ac:dyDescent="0.25">
      <c r="B23" s="88"/>
      <c r="C23" s="62" t="s">
        <v>28</v>
      </c>
      <c r="D23" s="41" t="s">
        <v>7</v>
      </c>
      <c r="E23" s="51" t="s">
        <v>7</v>
      </c>
      <c r="F23" s="55">
        <v>0</v>
      </c>
      <c r="G23" s="51" t="s">
        <v>7</v>
      </c>
      <c r="H23" s="58">
        <v>1</v>
      </c>
      <c r="I23" s="55">
        <v>0</v>
      </c>
      <c r="J23" s="48">
        <v>1</v>
      </c>
      <c r="K23" s="2">
        <v>0</v>
      </c>
      <c r="L23" s="19">
        <f t="shared" si="0"/>
        <v>10</v>
      </c>
      <c r="M23" s="76" t="s">
        <v>60</v>
      </c>
      <c r="N23" s="76"/>
      <c r="O23" s="76"/>
      <c r="P23" s="76"/>
      <c r="Q23" s="76"/>
      <c r="R23" s="76"/>
      <c r="S23" s="76"/>
      <c r="T23" s="77"/>
      <c r="U23" s="29" t="s">
        <v>7</v>
      </c>
      <c r="V23" s="35" t="s">
        <v>7</v>
      </c>
      <c r="W23" s="35" t="s">
        <v>7</v>
      </c>
      <c r="X23" s="35" t="s">
        <v>7</v>
      </c>
      <c r="Y23" s="35" t="s">
        <v>7</v>
      </c>
      <c r="Z23" s="35" t="s">
        <v>7</v>
      </c>
      <c r="AA23" s="35" t="s">
        <v>7</v>
      </c>
      <c r="AB23" s="7" t="s">
        <v>7</v>
      </c>
      <c r="AC23" s="8" t="s">
        <v>7</v>
      </c>
      <c r="AD23" s="32" t="s">
        <v>7</v>
      </c>
      <c r="AE23" s="32" t="s">
        <v>7</v>
      </c>
      <c r="AF23" s="32" t="s">
        <v>7</v>
      </c>
      <c r="AG23" s="6" t="s">
        <v>7</v>
      </c>
      <c r="AH23" s="32" t="s">
        <v>7</v>
      </c>
      <c r="AI23" s="32" t="s">
        <v>7</v>
      </c>
      <c r="AJ23" s="37" t="s">
        <v>7</v>
      </c>
      <c r="AK23" s="110" t="s">
        <v>44</v>
      </c>
    </row>
    <row r="24" spans="2:37" x14ac:dyDescent="0.25">
      <c r="B24" s="88"/>
      <c r="C24" s="3" t="s">
        <v>29</v>
      </c>
      <c r="D24" s="41" t="s">
        <v>7</v>
      </c>
      <c r="E24" s="51" t="s">
        <v>7</v>
      </c>
      <c r="F24" s="55">
        <v>0</v>
      </c>
      <c r="G24" s="51" t="s">
        <v>7</v>
      </c>
      <c r="H24" s="48">
        <v>1</v>
      </c>
      <c r="I24" s="55">
        <v>0</v>
      </c>
      <c r="J24" s="48">
        <v>1</v>
      </c>
      <c r="K24" s="14">
        <v>1</v>
      </c>
      <c r="L24" s="19">
        <f t="shared" si="0"/>
        <v>11</v>
      </c>
      <c r="M24" s="29" t="s">
        <v>7</v>
      </c>
      <c r="N24" s="35" t="s">
        <v>7</v>
      </c>
      <c r="O24" s="35" t="s">
        <v>7</v>
      </c>
      <c r="P24" s="35" t="s">
        <v>7</v>
      </c>
      <c r="Q24" s="35" t="s">
        <v>7</v>
      </c>
      <c r="R24" s="35" t="s">
        <v>7</v>
      </c>
      <c r="S24" s="35" t="s">
        <v>7</v>
      </c>
      <c r="T24" s="7" t="s">
        <v>7</v>
      </c>
      <c r="U24" s="29" t="s">
        <v>7</v>
      </c>
      <c r="V24" s="35" t="s">
        <v>7</v>
      </c>
      <c r="W24" s="35" t="s">
        <v>7</v>
      </c>
      <c r="X24" s="35" t="s">
        <v>7</v>
      </c>
      <c r="Y24" s="35" t="s">
        <v>7</v>
      </c>
      <c r="Z24" s="35" t="s">
        <v>7</v>
      </c>
      <c r="AA24" s="35" t="s">
        <v>7</v>
      </c>
      <c r="AB24" s="7" t="s">
        <v>7</v>
      </c>
      <c r="AC24" s="78" t="s">
        <v>35</v>
      </c>
      <c r="AD24" s="79"/>
      <c r="AE24" s="79"/>
      <c r="AF24" s="79"/>
      <c r="AG24" s="79"/>
      <c r="AH24" s="79"/>
      <c r="AI24" s="79"/>
      <c r="AJ24" s="80"/>
      <c r="AK24" s="110" t="s">
        <v>45</v>
      </c>
    </row>
    <row r="25" spans="2:37" x14ac:dyDescent="0.25">
      <c r="B25" s="88"/>
      <c r="C25" s="3" t="s">
        <v>30</v>
      </c>
      <c r="D25" s="41" t="s">
        <v>7</v>
      </c>
      <c r="E25" s="51" t="s">
        <v>7</v>
      </c>
      <c r="F25" s="55">
        <v>0</v>
      </c>
      <c r="G25" s="51" t="s">
        <v>7</v>
      </c>
      <c r="H25" s="48">
        <v>1</v>
      </c>
      <c r="I25" s="48">
        <v>1</v>
      </c>
      <c r="J25" s="55">
        <v>0</v>
      </c>
      <c r="K25" s="2">
        <v>0</v>
      </c>
      <c r="L25" s="19">
        <f t="shared" si="0"/>
        <v>12</v>
      </c>
      <c r="M25" s="29" t="s">
        <v>7</v>
      </c>
      <c r="N25" s="35" t="s">
        <v>7</v>
      </c>
      <c r="O25" s="35" t="s">
        <v>7</v>
      </c>
      <c r="P25" s="35" t="s">
        <v>7</v>
      </c>
      <c r="Q25" s="35" t="s">
        <v>7</v>
      </c>
      <c r="R25" s="35" t="s">
        <v>7</v>
      </c>
      <c r="S25" s="35" t="s">
        <v>7</v>
      </c>
      <c r="T25" s="7" t="s">
        <v>7</v>
      </c>
      <c r="U25" s="29" t="s">
        <v>7</v>
      </c>
      <c r="V25" s="35" t="s">
        <v>7</v>
      </c>
      <c r="W25" s="35" t="s">
        <v>7</v>
      </c>
      <c r="X25" s="35" t="s">
        <v>7</v>
      </c>
      <c r="Y25" s="35" t="s">
        <v>7</v>
      </c>
      <c r="Z25" s="35" t="s">
        <v>7</v>
      </c>
      <c r="AA25" s="35" t="s">
        <v>7</v>
      </c>
      <c r="AB25" s="7" t="s">
        <v>7</v>
      </c>
      <c r="AC25" s="73" t="s">
        <v>61</v>
      </c>
      <c r="AD25" s="74"/>
      <c r="AE25" s="74"/>
      <c r="AF25" s="74"/>
      <c r="AG25" s="74"/>
      <c r="AH25" s="74"/>
      <c r="AI25" s="74"/>
      <c r="AJ25" s="75"/>
      <c r="AK25" s="110" t="s">
        <v>50</v>
      </c>
    </row>
    <row r="26" spans="2:37" ht="14.4" thickBot="1" x14ac:dyDescent="0.3">
      <c r="B26" s="89"/>
      <c r="C26" s="11" t="s">
        <v>31</v>
      </c>
      <c r="D26" s="42" t="s">
        <v>7</v>
      </c>
      <c r="E26" s="52" t="s">
        <v>7</v>
      </c>
      <c r="F26" s="56">
        <v>0</v>
      </c>
      <c r="G26" s="52" t="s">
        <v>7</v>
      </c>
      <c r="H26" s="59">
        <v>1</v>
      </c>
      <c r="I26" s="49">
        <v>1</v>
      </c>
      <c r="J26" s="56">
        <v>0</v>
      </c>
      <c r="K26" s="25">
        <v>1</v>
      </c>
      <c r="L26" s="27">
        <f t="shared" si="0"/>
        <v>13</v>
      </c>
      <c r="M26" s="30" t="s">
        <v>7</v>
      </c>
      <c r="N26" s="36" t="s">
        <v>7</v>
      </c>
      <c r="O26" s="36" t="s">
        <v>7</v>
      </c>
      <c r="P26" s="36" t="s">
        <v>7</v>
      </c>
      <c r="Q26" s="36" t="s">
        <v>7</v>
      </c>
      <c r="R26" s="36" t="s">
        <v>7</v>
      </c>
      <c r="S26" s="36" t="s">
        <v>7</v>
      </c>
      <c r="T26" s="10" t="s">
        <v>7</v>
      </c>
      <c r="U26" s="30" t="s">
        <v>7</v>
      </c>
      <c r="V26" s="36" t="s">
        <v>7</v>
      </c>
      <c r="W26" s="36" t="s">
        <v>7</v>
      </c>
      <c r="X26" s="36" t="s">
        <v>7</v>
      </c>
      <c r="Y26" s="36" t="s">
        <v>7</v>
      </c>
      <c r="Z26" s="36" t="s">
        <v>7</v>
      </c>
      <c r="AA26" s="36" t="s">
        <v>7</v>
      </c>
      <c r="AB26" s="10" t="s">
        <v>7</v>
      </c>
      <c r="AC26" s="30" t="s">
        <v>7</v>
      </c>
      <c r="AD26" s="9" t="s">
        <v>7</v>
      </c>
      <c r="AE26" s="34" t="s">
        <v>7</v>
      </c>
      <c r="AF26" s="34" t="s">
        <v>7</v>
      </c>
      <c r="AG26" s="34" t="s">
        <v>7</v>
      </c>
      <c r="AH26" s="34" t="s">
        <v>7</v>
      </c>
      <c r="AI26" s="34" t="s">
        <v>7</v>
      </c>
      <c r="AJ26" s="39" t="s">
        <v>7</v>
      </c>
      <c r="AK26" s="111" t="s">
        <v>51</v>
      </c>
    </row>
    <row r="27" spans="2:37" x14ac:dyDescent="0.25">
      <c r="B27" s="20"/>
      <c r="C27" s="63"/>
      <c r="K27" s="26"/>
      <c r="AC27" s="17"/>
      <c r="AD27" s="17"/>
      <c r="AE27" s="17"/>
      <c r="AF27" s="17"/>
      <c r="AG27" s="17"/>
      <c r="AH27" s="17"/>
      <c r="AI27" s="17"/>
      <c r="AJ27" s="17"/>
      <c r="AK27" s="26"/>
    </row>
  </sheetData>
  <mergeCells count="65">
    <mergeCell ref="B2:C2"/>
    <mergeCell ref="M2:T2"/>
    <mergeCell ref="U2:AB2"/>
    <mergeCell ref="AC2:AJ2"/>
    <mergeCell ref="M3:T3"/>
    <mergeCell ref="U4:AB4"/>
    <mergeCell ref="U3:AB3"/>
    <mergeCell ref="M4:T4"/>
    <mergeCell ref="M9:T9"/>
    <mergeCell ref="M10:T10"/>
    <mergeCell ref="M6:T6"/>
    <mergeCell ref="M7:T7"/>
    <mergeCell ref="M8:T8"/>
    <mergeCell ref="M13:T13"/>
    <mergeCell ref="M5:T5"/>
    <mergeCell ref="U5:AB5"/>
    <mergeCell ref="M19:T19"/>
    <mergeCell ref="AC6:AJ6"/>
    <mergeCell ref="AC7:AJ7"/>
    <mergeCell ref="AC8:AJ8"/>
    <mergeCell ref="AC9:AJ9"/>
    <mergeCell ref="AC10:AJ10"/>
    <mergeCell ref="AC13:AJ13"/>
    <mergeCell ref="U6:AB6"/>
    <mergeCell ref="U7:AB7"/>
    <mergeCell ref="U8:AB8"/>
    <mergeCell ref="U9:AB9"/>
    <mergeCell ref="U10:AB10"/>
    <mergeCell ref="U13:AB13"/>
    <mergeCell ref="M14:T14"/>
    <mergeCell ref="M15:T15"/>
    <mergeCell ref="M16:T16"/>
    <mergeCell ref="M17:T17"/>
    <mergeCell ref="M18:T18"/>
    <mergeCell ref="AC17:AJ17"/>
    <mergeCell ref="AC18:AJ18"/>
    <mergeCell ref="AC19:AJ19"/>
    <mergeCell ref="U14:AB14"/>
    <mergeCell ref="U15:AB15"/>
    <mergeCell ref="U16:AB16"/>
    <mergeCell ref="U17:AB17"/>
    <mergeCell ref="U18:AB18"/>
    <mergeCell ref="U19:AB19"/>
    <mergeCell ref="AC25:AJ25"/>
    <mergeCell ref="M23:T23"/>
    <mergeCell ref="AC24:AJ24"/>
    <mergeCell ref="D2:L2"/>
    <mergeCell ref="B3:B5"/>
    <mergeCell ref="B6:B13"/>
    <mergeCell ref="B14:B20"/>
    <mergeCell ref="B21:B26"/>
    <mergeCell ref="AC20:AJ20"/>
    <mergeCell ref="M21:T21"/>
    <mergeCell ref="U21:AB21"/>
    <mergeCell ref="U22:AB22"/>
    <mergeCell ref="AC22:AJ22"/>
    <mergeCell ref="AC14:AJ14"/>
    <mergeCell ref="AC15:AJ15"/>
    <mergeCell ref="AC16:AJ16"/>
    <mergeCell ref="M11:T11"/>
    <mergeCell ref="U11:AB11"/>
    <mergeCell ref="AC11:AJ11"/>
    <mergeCell ref="M12:T12"/>
    <mergeCell ref="U12:AB12"/>
    <mergeCell ref="AC12:AJ12"/>
  </mergeCells>
  <phoneticPr fontId="1" type="noConversion"/>
  <conditionalFormatting sqref="D3:K26">
    <cfRule type="cellIs" dxfId="2" priority="1" operator="equal">
      <formula>"?"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9AB3F-7702-4E9D-85E8-BB5B73A25DAA}">
  <dimension ref="A1"/>
  <sheetViews>
    <sheetView workbookViewId="0">
      <selection activeCell="E17" sqref="E17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LEG架构指令集</vt:lpstr>
      <vt:lpstr>OVERTURE架构指令集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 Chris</dc:creator>
  <cp:lastModifiedBy>Sure Chris</cp:lastModifiedBy>
  <dcterms:created xsi:type="dcterms:W3CDTF">2026-01-29T06:12:01Z</dcterms:created>
  <dcterms:modified xsi:type="dcterms:W3CDTF">2026-02-01T08:44:33Z</dcterms:modified>
</cp:coreProperties>
</file>